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SHuoJ8PFIckLLW4mTVbp0wCNFUdq_5OZ\Shapiro lab\Lab Data\Nick\Bernhardt\MICs\FINAL\Nov9.25(Casp-ev_CASP)\"/>
    </mc:Choice>
  </mc:AlternateContent>
  <xr:revisionPtr revIDLastSave="0" documentId="8_{782711CB-57D3-47B3-9C5C-C64608B411DD}" xr6:coauthVersionLast="47" xr6:coauthVersionMax="47" xr10:uidLastSave="{00000000-0000-0000-0000-000000000000}"/>
  <bookViews>
    <workbookView xWindow="0" yWindow="30" windowWidth="20490" windowHeight="10890" xr2:uid="{EF87CF52-EBCF-465E-BC09-61AA91B61BBB}"/>
  </bookViews>
  <sheets>
    <sheet name="Rep3" sheetId="4" r:id="rId1"/>
    <sheet name="Rep2" sheetId="3" r:id="rId2"/>
    <sheet name="Rep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4" l="1"/>
  <c r="D25" i="4" s="1"/>
  <c r="E25" i="4" s="1"/>
  <c r="F25" i="4" s="1"/>
  <c r="G25" i="4" s="1"/>
  <c r="H25" i="4" s="1"/>
  <c r="I25" i="4" s="1"/>
  <c r="J25" i="4" s="1"/>
  <c r="K25" i="4" s="1"/>
  <c r="L25" i="4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D25" i="3"/>
  <c r="E25" i="3"/>
  <c r="F25" i="3"/>
  <c r="G25" i="3"/>
  <c r="H25" i="3"/>
  <c r="I25" i="3"/>
  <c r="J25" i="3"/>
  <c r="K25" i="3"/>
  <c r="L25" i="3"/>
  <c r="C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A616AF4A-CF70-42AA-8CD5-511122199C01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4CDFE66-F783-41FD-B3D9-D24F0A3A189C}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915B4F57-6AC2-4941-8B74-01A6DF5BC80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4D83B9F-9311-4BA5-9798-8F638F574341}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Shapiro Lab PC 2</author>
  </authors>
  <commentList>
    <comment ref="E1" authorId="0" shapeId="0" xr:uid="{47C18E87-59B9-45C2-98A2-C4C87AB6839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B6EFDD6-F27A-4061-A914-90E0F2F9B8A4}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CUV,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<sst xmlns="http://schemas.openxmlformats.org/spreadsheetml/2006/main" count="120" uniqueCount="46">
  <si>
    <t>Application: Tecan i-control</t>
  </si>
  <si>
    <t>Tecan i-control , 2.0.10.0</t>
  </si>
  <si>
    <t>Device: infinite 200Pro</t>
  </si>
  <si>
    <t>Serial number: 1903010769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</si>
  <si>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</si>
  <si>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</si>
  <si>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</si>
  <si>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</si>
  <si>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</si>
  <si>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3:28:30 PM</t>
  </si>
  <si>
    <t>System</t>
  </si>
  <si>
    <t>LAPTOP-P4MII5TR</t>
  </si>
  <si>
    <t>User</t>
  </si>
  <si>
    <t>LAPTOP-P4MII5TR\Shapiro Lab PC 2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</si>
  <si>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</si>
  <si>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</si>
  <si>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</si>
  <si>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</si>
  <si>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</si>
  <si>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</si>
  <si>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</si>
  <si>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</si>
  <si>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</si>
  <si>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</si>
  <si>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</si>
  <si>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</si>
  <si>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</si>
  <si>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B1-F12</t>
  </si>
  <si>
    <t>Start Time:</t>
  </si>
  <si>
    <t>2025-11-09 3:28:30 PM</t>
  </si>
  <si>
    <t>Temperature: 25.3 °C</t>
  </si>
  <si>
    <t>&lt;&gt;</t>
  </si>
  <si>
    <t>End Time:</t>
  </si>
  <si>
    <t>2025-11-09 3:29:21 PM</t>
  </si>
  <si>
    <t>3:30:34 PM</t>
  </si>
  <si>
    <t>2025-11-09 3:30:34 PM</t>
  </si>
  <si>
    <t>Temperature: 25.4 °C</t>
  </si>
  <si>
    <t>fRS585</t>
  </si>
  <si>
    <t>Blank</t>
  </si>
  <si>
    <t>WT Casp-Ev 1</t>
  </si>
  <si>
    <t>WT Casp-Ev 2</t>
  </si>
  <si>
    <t>2025-11-09 3:31:25 PM</t>
  </si>
  <si>
    <t>WT Casp-Ev 3</t>
  </si>
  <si>
    <t>3:31:52 PM</t>
  </si>
  <si>
    <t>2025-11-09 3:31:52 PM</t>
  </si>
  <si>
    <t>2025-11-09 3:32:44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</si>
</sst>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0463BAA0-6AA5-485B-8F38-9CD7D7496C3B}"/>
    <cellStyle name="Tecan.At.Excel.AutoGain_0" xfId="7" xr:uid="{C0C8DE2D-4B31-4A31-8DE7-3D99701BCE99}"/>
    <cellStyle name="Tecan.At.Excel.Error" xfId="1" xr:uid="{E52B2494-728E-4C22-9F60-CD52A8D37D2F}"/>
    <cellStyle name="Tecan.At.Excel.GFactorAndMeasurementBlank" xfId="5" xr:uid="{89EEFB64-DF8B-49DA-ACA8-8AD18AD9C884}"/>
    <cellStyle name="Tecan.At.Excel.GFactorBlank" xfId="3" xr:uid="{7007429F-72CD-402A-8220-FA37BA1466E2}"/>
    <cellStyle name="Tecan.At.Excel.GFactorReference" xfId="4" xr:uid="{95AABB85-8950-4E00-A055-3EF5FF1802CC}"/>
    <cellStyle name="Tecan.At.Excel.MeasurementBlank" xfId="2" xr:uid="{6F99C6FE-F9CA-4E93-9C43-027AB0D2E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D863-F094-4C8E-9FE0-05A959755728}">
  <dimension ref="A1:M35"/>
  <sheetViews>
    <sheetView tabSelected="1" topLeftCell="A10" workbookViewId="0">
      <selection activeCell="N20" sqref="N20"/>
    </sheetView>
  </sheetViews>
  <sheetFormatPr defaultRowHeight="15" x14ac:dyDescent="0.25"/>
  <cols>
    <col min="1" max="1" width="15.140625" customWidth="1"/>
  </cols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45970</v>
      </c>
    </row>
    <row r="6" spans="1:9" x14ac:dyDescent="0.25">
      <c r="A6" t="s">
        <v>8</v>
      </c>
      <c r="B6" s="2" t="s">
        <v>43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0</v>
      </c>
      <c r="F20" t="s">
        <v>25</v>
      </c>
    </row>
    <row r="21" spans="1:13" x14ac:dyDescent="0.25">
      <c r="A21" t="s">
        <v>26</v>
      </c>
      <c r="E21" t="s">
        <v>27</v>
      </c>
    </row>
    <row r="22" spans="1:13" x14ac:dyDescent="0.25">
      <c r="A22" t="s">
        <v>28</v>
      </c>
      <c r="B22" s="2" t="s">
        <v>44</v>
      </c>
    </row>
    <row r="24" spans="1:13" x14ac:dyDescent="0.25">
      <c r="B24" t="s">
        <v>36</v>
      </c>
    </row>
    <row r="25" spans="1:13" x14ac:dyDescent="0.25">
      <c r="A25" s="3" t="s">
        <v>31</v>
      </c>
      <c r="B25" s="3">
        <v>1</v>
      </c>
      <c r="C25" s="3">
        <f>B25/2</f>
        <v>0.5</v>
      </c>
      <c r="D25" s="3">
        <f t="shared" ref="D25:L25" si="0">C25/2</f>
        <v>0.25</v>
      </c>
      <c r="E25" s="3">
        <f t="shared" si="0"/>
        <v>0.125</v>
      </c>
      <c r="F25" s="3">
        <f t="shared" si="0"/>
        <v>6.25E-2</v>
      </c>
      <c r="G25" s="3">
        <f t="shared" si="0"/>
        <v>3.125E-2</v>
      </c>
      <c r="H25" s="3">
        <f t="shared" si="0"/>
        <v>1.5625E-2</v>
      </c>
      <c r="I25" s="3">
        <f t="shared" si="0"/>
        <v>7.8125E-3</v>
      </c>
      <c r="J25" s="3">
        <f t="shared" si="0"/>
        <v>3.90625E-3</v>
      </c>
      <c r="K25" s="3">
        <f t="shared" si="0"/>
        <v>1.953125E-3</v>
      </c>
      <c r="L25" s="3">
        <f t="shared" si="0"/>
        <v>9.765625E-4</v>
      </c>
      <c r="M25" s="3">
        <v>0</v>
      </c>
    </row>
    <row r="26" spans="1:13" x14ac:dyDescent="0.25">
      <c r="A26" s="3" t="s">
        <v>39</v>
      </c>
      <c r="B26">
        <v>6.2600001692771912E-2</v>
      </c>
      <c r="C26">
        <v>6.8300001323223114E-2</v>
      </c>
      <c r="D26">
        <v>8.0899998545646667E-2</v>
      </c>
      <c r="E26">
        <v>0.21310000121593475</v>
      </c>
      <c r="F26">
        <v>0.88300001621246338</v>
      </c>
      <c r="G26">
        <v>0.88020002841949463</v>
      </c>
      <c r="H26">
        <v>1.1578999757766724</v>
      </c>
      <c r="I26">
        <v>1.0078999996185303</v>
      </c>
      <c r="J26">
        <v>1.041700005531311</v>
      </c>
      <c r="K26">
        <v>1.1438000202178955</v>
      </c>
      <c r="L26">
        <v>1.0807000398635864</v>
      </c>
      <c r="M26">
        <v>0.99980002641677856</v>
      </c>
    </row>
    <row r="27" spans="1:13" x14ac:dyDescent="0.25">
      <c r="A27" s="3" t="s">
        <v>40</v>
      </c>
      <c r="B27">
        <v>6.2199998646974564E-2</v>
      </c>
      <c r="C27">
        <v>6.3199996948242188E-2</v>
      </c>
      <c r="D27">
        <v>6.4900003373622894E-2</v>
      </c>
      <c r="E27">
        <v>6.3600003719329834E-2</v>
      </c>
      <c r="F27">
        <v>6.3400000333786011E-2</v>
      </c>
      <c r="G27">
        <v>1.0332000255584717</v>
      </c>
      <c r="H27">
        <v>1.2438000440597534</v>
      </c>
      <c r="I27">
        <v>1.156499981880188</v>
      </c>
      <c r="J27">
        <v>1.2967000007629395</v>
      </c>
      <c r="K27">
        <v>1.1871000528335571</v>
      </c>
      <c r="L27">
        <v>0.87110000848770142</v>
      </c>
      <c r="M27">
        <v>1.0501999855041504</v>
      </c>
    </row>
    <row r="28" spans="1:13" x14ac:dyDescent="0.25">
      <c r="A28" s="3" t="s">
        <v>42</v>
      </c>
      <c r="B28">
        <v>6.2199998646974564E-2</v>
      </c>
      <c r="C28">
        <v>6.3100002706050873E-2</v>
      </c>
      <c r="D28">
        <v>7.680000364780426E-2</v>
      </c>
      <c r="E28">
        <v>0.34610000252723694</v>
      </c>
      <c r="F28">
        <v>1.0549999475479126</v>
      </c>
      <c r="G28">
        <v>1.1303000450134277</v>
      </c>
      <c r="H28">
        <v>1.2369999885559082</v>
      </c>
      <c r="I28">
        <v>1.0363999605178833</v>
      </c>
      <c r="J28">
        <v>1.2264000177383423</v>
      </c>
      <c r="K28">
        <v>1.3209999799728394</v>
      </c>
      <c r="L28">
        <v>1.181399941444397</v>
      </c>
      <c r="M28">
        <v>1.1369999647140503</v>
      </c>
    </row>
    <row r="29" spans="1:13" x14ac:dyDescent="0.25">
      <c r="A29" s="3" t="s">
        <v>37</v>
      </c>
      <c r="B29">
        <v>6.2700003385543823E-2</v>
      </c>
      <c r="C29">
        <v>6.1400000005960464E-2</v>
      </c>
      <c r="D29">
        <v>6.2199998646974564E-2</v>
      </c>
      <c r="E29">
        <v>6.1900001019239426E-2</v>
      </c>
      <c r="F29">
        <v>6.3100002706050873E-2</v>
      </c>
      <c r="G29">
        <v>6.1999998986721039E-2</v>
      </c>
      <c r="H29">
        <v>6.589999794960022E-2</v>
      </c>
      <c r="I29">
        <v>1.1562999486923218</v>
      </c>
      <c r="J29">
        <v>0.98659998178482056</v>
      </c>
      <c r="K29">
        <v>0.80409997701644897</v>
      </c>
      <c r="L29">
        <v>1.1924999952316284</v>
      </c>
      <c r="M29">
        <v>1.2130000591278076</v>
      </c>
    </row>
    <row r="30" spans="1:13" x14ac:dyDescent="0.25">
      <c r="A30" s="3" t="s">
        <v>38</v>
      </c>
      <c r="B30">
        <v>6.1999998986721039E-2</v>
      </c>
      <c r="C30">
        <v>6.2700003385543823E-2</v>
      </c>
      <c r="D30">
        <v>6.3299998641014099E-2</v>
      </c>
      <c r="E30">
        <v>6.4000003039836884E-2</v>
      </c>
      <c r="F30">
        <v>6.3500002026557922E-2</v>
      </c>
      <c r="G30">
        <v>6.1700001358985901E-2</v>
      </c>
      <c r="H30">
        <v>6.3000001013278961E-2</v>
      </c>
      <c r="I30">
        <v>6.289999932050705E-2</v>
      </c>
      <c r="J30">
        <v>6.3000001013278961E-2</v>
      </c>
      <c r="K30">
        <v>6.3000001013278961E-2</v>
      </c>
      <c r="L30">
        <v>6.3400000333786011E-2</v>
      </c>
      <c r="M30">
        <v>6.2799997627735138E-2</v>
      </c>
    </row>
    <row r="35" spans="1:2" x14ac:dyDescent="0.25">
      <c r="A35" t="s">
        <v>32</v>
      </c>
      <c r="B35" s="2" t="s">
        <v>45</v>
      </c>
    </row>
  </sheetData>
  <conditionalFormatting sqref="B26:M3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633B-2B77-4447-BB61-D9C07A56FF9B}">
  <dimension ref="A1:M35"/>
  <sheetViews>
    <sheetView topLeftCell="A10" workbookViewId="0">
      <selection activeCell="A26" sqref="A26:A30"/>
    </sheetView>
  </sheetViews>
  <sheetFormatPr defaultRowHeight="15" x14ac:dyDescent="0.25"/>
  <cols>
    <col min="1" max="1" width="14.85546875" customWidth="1"/>
  </cols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45970</v>
      </c>
    </row>
    <row r="6" spans="1:9" x14ac:dyDescent="0.25">
      <c r="A6" t="s">
        <v>8</v>
      </c>
      <c r="B6" s="2" t="s">
        <v>34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0</v>
      </c>
      <c r="F20" t="s">
        <v>25</v>
      </c>
    </row>
    <row r="21" spans="1:13" x14ac:dyDescent="0.25">
      <c r="A21" t="s">
        <v>26</v>
      </c>
      <c r="E21" t="s">
        <v>27</v>
      </c>
    </row>
    <row r="22" spans="1:13" x14ac:dyDescent="0.25">
      <c r="A22" t="s">
        <v>28</v>
      </c>
      <c r="B22" s="2" t="s">
        <v>35</v>
      </c>
    </row>
    <row r="24" spans="1:13" x14ac:dyDescent="0.25">
      <c r="B24" t="s">
        <v>36</v>
      </c>
    </row>
    <row r="25" spans="1:13" x14ac:dyDescent="0.25">
      <c r="A25" s="3" t="s">
        <v>31</v>
      </c>
      <c r="B25" s="3">
        <v>1</v>
      </c>
      <c r="C25" s="3">
        <f>B25/2</f>
        <v>0.5</v>
      </c>
      <c r="D25" s="3">
        <f t="shared" ref="D25:L25" si="0">C25/2</f>
        <v>0.25</v>
      </c>
      <c r="E25" s="3">
        <f t="shared" si="0"/>
        <v>0.125</v>
      </c>
      <c r="F25" s="3">
        <f t="shared" si="0"/>
        <v>6.25E-2</v>
      </c>
      <c r="G25" s="3">
        <f t="shared" si="0"/>
        <v>3.125E-2</v>
      </c>
      <c r="H25" s="3">
        <f t="shared" si="0"/>
        <v>1.5625E-2</v>
      </c>
      <c r="I25" s="3">
        <f t="shared" si="0"/>
        <v>7.8125E-3</v>
      </c>
      <c r="J25" s="3">
        <f t="shared" si="0"/>
        <v>3.90625E-3</v>
      </c>
      <c r="K25" s="3">
        <f t="shared" si="0"/>
        <v>1.953125E-3</v>
      </c>
      <c r="L25" s="3">
        <f t="shared" si="0"/>
        <v>9.765625E-4</v>
      </c>
      <c r="M25" s="3">
        <v>0</v>
      </c>
    </row>
    <row r="26" spans="1:13" x14ac:dyDescent="0.25">
      <c r="A26" s="3" t="s">
        <v>39</v>
      </c>
      <c r="B26">
        <v>6.3699997961521149E-2</v>
      </c>
      <c r="C26">
        <v>6.7500002682209015E-2</v>
      </c>
      <c r="D26">
        <v>0.11150000244379044</v>
      </c>
      <c r="E26">
        <v>0.44339999556541443</v>
      </c>
      <c r="F26">
        <v>0.98339998722076416</v>
      </c>
      <c r="G26">
        <v>1.0312000513076782</v>
      </c>
      <c r="H26">
        <v>1.1390000581741333</v>
      </c>
      <c r="I26">
        <v>1.19159996509552</v>
      </c>
      <c r="J26">
        <v>1.1634000539779663</v>
      </c>
      <c r="K26">
        <v>1.1332000494003296</v>
      </c>
      <c r="L26">
        <v>1.211899995803833</v>
      </c>
      <c r="M26">
        <v>1.2130999565124512</v>
      </c>
    </row>
    <row r="27" spans="1:13" x14ac:dyDescent="0.25">
      <c r="A27" s="3" t="s">
        <v>40</v>
      </c>
      <c r="B27">
        <v>6.2600001692771912E-2</v>
      </c>
      <c r="C27">
        <v>6.2300000339746475E-2</v>
      </c>
      <c r="D27">
        <v>6.2799997627735138E-2</v>
      </c>
      <c r="E27">
        <v>6.3500002026557922E-2</v>
      </c>
      <c r="F27">
        <v>6.8300001323223114E-2</v>
      </c>
      <c r="G27">
        <v>1.2384999990463257</v>
      </c>
      <c r="H27">
        <v>1.2740000486373901</v>
      </c>
      <c r="I27">
        <v>1.250499963760376</v>
      </c>
      <c r="J27">
        <v>1.2411999702453613</v>
      </c>
      <c r="K27">
        <v>1.2426999807357788</v>
      </c>
      <c r="L27">
        <v>1.2509000301361084</v>
      </c>
      <c r="M27">
        <v>1.0671999454498291</v>
      </c>
    </row>
    <row r="28" spans="1:13" x14ac:dyDescent="0.25">
      <c r="A28" s="3" t="s">
        <v>42</v>
      </c>
      <c r="B28">
        <v>6.2700003385543823E-2</v>
      </c>
      <c r="C28">
        <v>6.4300000667572021E-2</v>
      </c>
      <c r="D28">
        <v>6.5800003707408905E-2</v>
      </c>
      <c r="E28">
        <v>0.23810000717639923</v>
      </c>
      <c r="F28">
        <v>0.69169998168945313</v>
      </c>
      <c r="G28">
        <v>1.0176999568939209</v>
      </c>
      <c r="H28">
        <v>1.00409996509552</v>
      </c>
      <c r="I28">
        <v>1.2783000469207764</v>
      </c>
      <c r="J28">
        <v>1.2038999795913696</v>
      </c>
      <c r="K28">
        <v>1.194100022315979</v>
      </c>
      <c r="L28">
        <v>0.97909998893737793</v>
      </c>
      <c r="M28">
        <v>1.1274000406265259</v>
      </c>
    </row>
    <row r="29" spans="1:13" x14ac:dyDescent="0.25">
      <c r="A29" s="3" t="s">
        <v>37</v>
      </c>
      <c r="B29">
        <v>6.25E-2</v>
      </c>
      <c r="C29">
        <v>6.1299998313188553E-2</v>
      </c>
      <c r="D29">
        <v>6.1799999326467514E-2</v>
      </c>
      <c r="E29">
        <v>6.2199998646974564E-2</v>
      </c>
      <c r="F29">
        <v>6.2600001692771912E-2</v>
      </c>
      <c r="G29">
        <v>6.1999998986721039E-2</v>
      </c>
      <c r="H29">
        <v>9.4300001859664917E-2</v>
      </c>
      <c r="I29">
        <v>0.81889998912811279</v>
      </c>
      <c r="J29">
        <v>1.1513999700546265</v>
      </c>
      <c r="K29">
        <v>1.1388000249862671</v>
      </c>
      <c r="L29">
        <v>1.0492000579833984</v>
      </c>
      <c r="M29">
        <v>1.0949000120162964</v>
      </c>
    </row>
    <row r="30" spans="1:13" x14ac:dyDescent="0.25">
      <c r="A30" s="3" t="s">
        <v>38</v>
      </c>
      <c r="B30">
        <v>6.2199998646974564E-2</v>
      </c>
      <c r="C30">
        <v>6.1700001358985901E-2</v>
      </c>
      <c r="D30">
        <v>6.25E-2</v>
      </c>
      <c r="E30">
        <v>6.2399998307228088E-2</v>
      </c>
      <c r="F30">
        <v>6.2399998307228088E-2</v>
      </c>
      <c r="G30">
        <v>6.1099998652935028E-2</v>
      </c>
      <c r="H30">
        <v>6.1599999666213989E-2</v>
      </c>
      <c r="I30">
        <v>6.2600001692771912E-2</v>
      </c>
      <c r="J30">
        <v>6.25E-2</v>
      </c>
      <c r="K30">
        <v>6.2600001692771912E-2</v>
      </c>
      <c r="L30">
        <v>6.25E-2</v>
      </c>
      <c r="M30">
        <v>6.25E-2</v>
      </c>
    </row>
    <row r="35" spans="1:2" x14ac:dyDescent="0.25">
      <c r="A35" t="s">
        <v>32</v>
      </c>
      <c r="B35" s="2" t="s">
        <v>41</v>
      </c>
    </row>
  </sheetData>
  <conditionalFormatting sqref="B26:M3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C390-ECE5-40E2-AE15-86F8D6AF9F2B}">
  <dimension ref="A1:M35"/>
  <sheetViews>
    <sheetView topLeftCell="A13" workbookViewId="0">
      <selection activeCell="B33" sqref="B33"/>
    </sheetView>
  </sheetViews>
  <sheetFormatPr defaultRowHeight="15" x14ac:dyDescent="0.25"/>
  <cols>
    <col min="1" max="1" width="15.140625" customWidth="1"/>
  </cols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45970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0</v>
      </c>
      <c r="F20" t="s">
        <v>25</v>
      </c>
    </row>
    <row r="21" spans="1:13" x14ac:dyDescent="0.25">
      <c r="A21" t="s">
        <v>26</v>
      </c>
      <c r="E21" t="s">
        <v>27</v>
      </c>
    </row>
    <row r="22" spans="1:13" x14ac:dyDescent="0.25">
      <c r="A22" t="s">
        <v>28</v>
      </c>
      <c r="B22" s="2" t="s">
        <v>29</v>
      </c>
    </row>
    <row r="24" spans="1:13" x14ac:dyDescent="0.25">
      <c r="B24" t="s">
        <v>30</v>
      </c>
    </row>
    <row r="25" spans="1:13" x14ac:dyDescent="0.25">
      <c r="A25" s="3" t="s">
        <v>31</v>
      </c>
      <c r="B25" s="3">
        <v>1</v>
      </c>
      <c r="C25" s="3">
        <f>B25/2</f>
        <v>0.5</v>
      </c>
      <c r="D25" s="3">
        <f t="shared" ref="D25:L25" si="0">C25/2</f>
        <v>0.25</v>
      </c>
      <c r="E25" s="3">
        <f t="shared" si="0"/>
        <v>0.125</v>
      </c>
      <c r="F25" s="3">
        <f t="shared" si="0"/>
        <v>6.25E-2</v>
      </c>
      <c r="G25" s="3">
        <f t="shared" si="0"/>
        <v>3.125E-2</v>
      </c>
      <c r="H25" s="3">
        <f t="shared" si="0"/>
        <v>1.5625E-2</v>
      </c>
      <c r="I25" s="3">
        <f t="shared" si="0"/>
        <v>7.8125E-3</v>
      </c>
      <c r="J25" s="3">
        <f t="shared" si="0"/>
        <v>3.90625E-3</v>
      </c>
      <c r="K25" s="3">
        <f t="shared" si="0"/>
        <v>1.953125E-3</v>
      </c>
      <c r="L25" s="3">
        <f t="shared" si="0"/>
        <v>9.765625E-4</v>
      </c>
      <c r="M25" s="3">
        <v>0</v>
      </c>
    </row>
    <row r="26" spans="1:13" x14ac:dyDescent="0.25">
      <c r="A26" s="3" t="s">
        <v>39</v>
      </c>
      <c r="B26">
        <v>6.3299998641014099E-2</v>
      </c>
      <c r="C26">
        <v>8.1100001931190491E-2</v>
      </c>
      <c r="D26">
        <v>0.14339999854564667</v>
      </c>
      <c r="E26">
        <v>0.41909998655319214</v>
      </c>
      <c r="F26">
        <v>1.0642000436782837</v>
      </c>
      <c r="G26">
        <v>1.020300030708313</v>
      </c>
      <c r="H26">
        <v>1.07669997215271</v>
      </c>
      <c r="I26">
        <v>1.1561000347137451</v>
      </c>
      <c r="J26">
        <v>0.76670002937316895</v>
      </c>
      <c r="K26">
        <v>1.235200047492981</v>
      </c>
      <c r="L26">
        <v>1.1993000507354736</v>
      </c>
      <c r="M26">
        <v>1.1951999664306641</v>
      </c>
    </row>
    <row r="27" spans="1:13" x14ac:dyDescent="0.25">
      <c r="A27" s="3" t="s">
        <v>40</v>
      </c>
      <c r="B27">
        <v>6.2799997627735138E-2</v>
      </c>
      <c r="C27">
        <v>6.2600001692771912E-2</v>
      </c>
      <c r="D27">
        <v>6.2600001692771912E-2</v>
      </c>
      <c r="E27">
        <v>6.3000001013278961E-2</v>
      </c>
      <c r="F27">
        <v>6.7800000309944153E-2</v>
      </c>
      <c r="G27">
        <v>0.78250002861022949</v>
      </c>
      <c r="H27">
        <v>0.96399998664855957</v>
      </c>
      <c r="I27">
        <v>1.1367000341415405</v>
      </c>
      <c r="J27">
        <v>1.2578999996185303</v>
      </c>
      <c r="K27">
        <v>1.2838000059127808</v>
      </c>
      <c r="L27">
        <v>1.0827000141143799</v>
      </c>
      <c r="M27">
        <v>1.0938999652862549</v>
      </c>
    </row>
    <row r="28" spans="1:13" x14ac:dyDescent="0.25">
      <c r="A28" s="3" t="s">
        <v>42</v>
      </c>
      <c r="B28">
        <v>6.25E-2</v>
      </c>
      <c r="C28">
        <v>6.4300000667572021E-2</v>
      </c>
      <c r="D28">
        <v>9.0400002896785736E-2</v>
      </c>
      <c r="E28">
        <v>0.19830000400543213</v>
      </c>
      <c r="F28">
        <v>0.86900001764297485</v>
      </c>
      <c r="G28">
        <v>1.0922000408172607</v>
      </c>
      <c r="H28">
        <v>0.91710001230239868</v>
      </c>
      <c r="I28">
        <v>0.96670001745223999</v>
      </c>
      <c r="J28">
        <v>1.0401999950408936</v>
      </c>
      <c r="K28">
        <v>1.0980000495910645</v>
      </c>
      <c r="L28">
        <v>1.1323000192642212</v>
      </c>
      <c r="M28">
        <v>1.1943000555038452</v>
      </c>
    </row>
    <row r="29" spans="1:13" x14ac:dyDescent="0.25">
      <c r="A29" s="3" t="s">
        <v>37</v>
      </c>
      <c r="B29">
        <v>6.2399998307228088E-2</v>
      </c>
      <c r="C29">
        <v>6.1799999326467514E-2</v>
      </c>
      <c r="D29">
        <v>6.1599999666213989E-2</v>
      </c>
      <c r="E29">
        <v>6.1500001698732376E-2</v>
      </c>
      <c r="F29">
        <v>6.1299998313188553E-2</v>
      </c>
      <c r="G29">
        <v>6.1700001358985901E-2</v>
      </c>
      <c r="H29">
        <v>6.3199996948242188E-2</v>
      </c>
      <c r="I29">
        <v>0.66619998216629028</v>
      </c>
      <c r="J29">
        <v>1.0484999418258667</v>
      </c>
      <c r="K29">
        <v>0.99699997901916504</v>
      </c>
      <c r="L29">
        <v>1.1318000555038452</v>
      </c>
      <c r="M29">
        <v>1.0924999713897705</v>
      </c>
    </row>
    <row r="30" spans="1:13" x14ac:dyDescent="0.25">
      <c r="A30" s="3" t="s">
        <v>38</v>
      </c>
      <c r="B30">
        <v>6.2600001692771912E-2</v>
      </c>
      <c r="C30">
        <v>6.1700001358985901E-2</v>
      </c>
      <c r="D30">
        <v>6.2300000339746475E-2</v>
      </c>
      <c r="E30">
        <v>6.3100002706050873E-2</v>
      </c>
      <c r="F30">
        <v>6.2799997627735138E-2</v>
      </c>
      <c r="G30">
        <v>6.1900001019239426E-2</v>
      </c>
      <c r="H30">
        <v>6.1599999666213989E-2</v>
      </c>
      <c r="I30">
        <v>6.2600001692771912E-2</v>
      </c>
      <c r="J30">
        <v>6.3699997961521149E-2</v>
      </c>
      <c r="K30">
        <v>6.2600001692771912E-2</v>
      </c>
      <c r="L30">
        <v>6.3100002706050873E-2</v>
      </c>
      <c r="M30">
        <v>6.2600001692771912E-2</v>
      </c>
    </row>
    <row r="35" spans="1:2" x14ac:dyDescent="0.25">
      <c r="A35" t="s">
        <v>32</v>
      </c>
      <c r="B35" s="2" t="s">
        <v>33</v>
      </c>
    </row>
  </sheetData>
  <conditionalFormatting sqref="B26:M3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41B7-8A27-4FF4-8D5D-E947AAE2EA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Rep3</vt:lpstr>
      <vt:lpstr>Rep2</vt:lpstr>
      <vt:lpstr>Rep1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Bates</dc:creator>
  <cp:lastModifiedBy>Eileen Bates</cp:lastModifiedBy>
  <dcterms:created xsi:type="dcterms:W3CDTF">2025-11-09T20:28:24Z</dcterms:created>
  <dcterms:modified xsi:type="dcterms:W3CDTF">2025-11-09T20:34:00Z</dcterms:modified>
</cp:coreProperties>
</file>